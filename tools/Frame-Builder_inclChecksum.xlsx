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7170" windowHeight="6540"/>
  </bookViews>
  <sheets>
    <sheet name="Tabelle1" sheetId="1" r:id="rId1"/>
    <sheet name="Tabelle2" sheetId="2" r:id="rId2"/>
    <sheet name="Tabelle3" sheetId="3" r:id="rId3"/>
  </sheets>
  <calcPr calcId="145621"/>
  <fileRecoveryPr repairLoad="1"/>
</workbook>
</file>

<file path=xl/calcChain.xml><?xml version="1.0" encoding="utf-8"?>
<calcChain xmlns="http://schemas.openxmlformats.org/spreadsheetml/2006/main">
  <c r="D49" i="1" l="1"/>
  <c r="D52" i="1"/>
  <c r="C50" i="1"/>
  <c r="D48" i="1"/>
  <c r="D47" i="1"/>
  <c r="D46" i="1"/>
  <c r="D45" i="1"/>
  <c r="D44" i="1"/>
  <c r="D24" i="1"/>
  <c r="C22" i="1"/>
  <c r="D21" i="1"/>
  <c r="D20" i="1"/>
  <c r="D19" i="1"/>
  <c r="D18" i="1"/>
  <c r="D17" i="1"/>
  <c r="C35" i="1"/>
  <c r="C34" i="1"/>
  <c r="C10" i="1"/>
  <c r="C9" i="1"/>
  <c r="C8" i="1"/>
  <c r="D36" i="1"/>
  <c r="E36" i="1" s="1"/>
  <c r="D37" i="1"/>
  <c r="D33" i="1"/>
  <c r="D32" i="1"/>
  <c r="D31" i="1"/>
  <c r="D30" i="1"/>
  <c r="D29" i="1"/>
  <c r="D4" i="1"/>
  <c r="D5" i="1"/>
  <c r="D6" i="1"/>
  <c r="D7" i="1"/>
  <c r="D3" i="1"/>
  <c r="D51" i="1" l="1"/>
  <c r="C51" i="1" s="1"/>
  <c r="D38" i="1"/>
  <c r="E28" i="1" s="1"/>
  <c r="D23" i="1"/>
  <c r="E16" i="1" s="1"/>
  <c r="E37" i="1"/>
  <c r="D11" i="1"/>
  <c r="D12" i="1"/>
  <c r="D39" i="1"/>
  <c r="C38" i="1" l="1"/>
  <c r="C11" i="1"/>
  <c r="E2" i="1"/>
  <c r="C23" i="1"/>
</calcChain>
</file>

<file path=xl/sharedStrings.xml><?xml version="1.0" encoding="utf-8"?>
<sst xmlns="http://schemas.openxmlformats.org/spreadsheetml/2006/main" count="75" uniqueCount="44">
  <si>
    <t>Hex</t>
  </si>
  <si>
    <t>4D</t>
  </si>
  <si>
    <t>Head</t>
  </si>
  <si>
    <t>FrameType</t>
  </si>
  <si>
    <t>Node Adress</t>
  </si>
  <si>
    <t>Direction</t>
  </si>
  <si>
    <t>Speed</t>
  </si>
  <si>
    <t>Checksum</t>
  </si>
  <si>
    <t>Optional Terminator</t>
  </si>
  <si>
    <t>HextoDez</t>
  </si>
  <si>
    <t>6E</t>
  </si>
  <si>
    <t>Fan --&gt; Hub (10 byte)</t>
  </si>
  <si>
    <t xml:space="preserve">Direction flag </t>
  </si>
  <si>
    <t xml:space="preserve">Humidity [%] </t>
  </si>
  <si>
    <t>Temperature (16bit, BE)</t>
  </si>
  <si>
    <t>8-9</t>
  </si>
  <si>
    <t>Accepted Range: 20%-100% = (20-100)(dez) = (14-64)hex</t>
  </si>
  <si>
    <t>Not correct -&gt; see orignal log on right</t>
  </si>
  <si>
    <t>554D009603010119FF00</t>
  </si>
  <si>
    <t>554D006E01004400</t>
  </si>
  <si>
    <t>Node 01-Active Command</t>
  </si>
  <si>
    <t>Node 00 Poll</t>
  </si>
  <si>
    <t>Node 01 Poll</t>
  </si>
  <si>
    <t>Node 02 Poll</t>
  </si>
  <si>
    <t>Node 03 Poll</t>
  </si>
  <si>
    <t>Node 04 Poll</t>
  </si>
  <si>
    <t>Node 05 Poll</t>
  </si>
  <si>
    <t>554D006E01024200</t>
  </si>
  <si>
    <t>554D006E01034100</t>
  </si>
  <si>
    <t>554D006E01044000</t>
  </si>
  <si>
    <t>554D006E01053F00</t>
  </si>
  <si>
    <t>2D</t>
  </si>
  <si>
    <t>DA</t>
  </si>
  <si>
    <t>??</t>
  </si>
  <si>
    <t>554D006E01014300</t>
  </si>
  <si>
    <t>Head (Start of Frame)</t>
  </si>
  <si>
    <t>Head (Master -&gt; Slave)</t>
  </si>
  <si>
    <t>Head (Slave -&gt; Master)</t>
  </si>
  <si>
    <t>Usually polled only at Start up</t>
  </si>
  <si>
    <t>Fan --&gt; Hub (8 byte)
(Answer to Master Poll Frame)</t>
  </si>
  <si>
    <t>Hub --&gt; Fan (7 byte) 
(Master Poll Frame)</t>
  </si>
  <si>
    <t>Hub --&gt; Fan (9 byte)</t>
  </si>
  <si>
    <t>0x96 = no SensorData poll, 0x97 poll sensor data</t>
  </si>
  <si>
    <t>SensorRequest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</si>
</sst>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0&quot; %relative Humudity&quot;"/>
    <numFmt numFmtId="166" formatCode="0&quot; °C&quot;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right"/>
    </xf>
    <xf numFmtId="164" fontId="0" fillId="2" borderId="0" xfId="0" applyNumberFormat="1" applyFill="1" applyAlignment="1">
      <alignment horizontal="right"/>
    </xf>
    <xf numFmtId="0" fontId="0" fillId="2" borderId="0" xfId="0" applyFill="1"/>
    <xf numFmtId="164" fontId="0" fillId="3" borderId="0" xfId="0" applyNumberFormat="1" applyFill="1" applyAlignment="1">
      <alignment horizontal="right"/>
    </xf>
    <xf numFmtId="16" fontId="0" fillId="0" borderId="0" xfId="0" quotePrefix="1" applyNumberFormat="1"/>
    <xf numFmtId="165" fontId="0" fillId="2" borderId="0" xfId="0" applyNumberFormat="1" applyFill="1" applyAlignment="1">
      <alignment horizontal="left"/>
    </xf>
    <xf numFmtId="166" fontId="0" fillId="2" borderId="0" xfId="0" applyNumberFormat="1" applyFill="1" applyAlignment="1">
      <alignment horizontal="left"/>
    </xf>
    <xf numFmtId="0" fontId="1" fillId="0" borderId="0" xfId="0" applyFont="1"/>
    <xf numFmtId="0" fontId="1" fillId="3" borderId="0" xfId="0" applyFont="1" applyFill="1"/>
    <xf numFmtId="0" fontId="0" fillId="3" borderId="0" xfId="0" applyFill="1"/>
    <xf numFmtId="0" fontId="0" fillId="0" borderId="0" xfId="0" applyNumberFormat="1"/>
    <xf numFmtId="0" fontId="0" fillId="2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693644</xdr:colOff>
      <xdr:row>3</xdr:row>
      <xdr:rowOff>152400</xdr:rowOff>
    </xdr:from>
    <xdr:to>
      <xdr:col>22</xdr:col>
      <xdr:colOff>592524</xdr:colOff>
      <xdr:row>20</xdr:row>
      <xdr:rowOff>60194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4379" y="768724"/>
          <a:ext cx="9042880" cy="3370411"/>
        </a:xfrm>
        <a:prstGeom prst="rect">
          <a:avLst/>
        </a:prstGeom>
      </xdr:spPr>
    </xdr:pic>
    <xdr:clientData/>
  </xdr:twoCellAnchor>
  <xdr:twoCellAnchor editAs="oneCell">
    <xdr:from>
      <xdr:col>10</xdr:col>
      <xdr:colOff>674594</xdr:colOff>
      <xdr:row>1</xdr:row>
      <xdr:rowOff>0</xdr:rowOff>
    </xdr:from>
    <xdr:to>
      <xdr:col>15</xdr:col>
      <xdr:colOff>495086</xdr:colOff>
      <xdr:row>3</xdr:row>
      <xdr:rowOff>76385</xdr:rowOff>
    </xdr:to>
    <xdr:pic>
      <xdr:nvPicPr>
        <xdr:cNvPr id="3" name="Grafik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95329" y="235324"/>
          <a:ext cx="3630492" cy="457385"/>
        </a:xfrm>
        <a:prstGeom prst="rect">
          <a:avLst/>
        </a:prstGeom>
      </xdr:spPr>
    </xdr:pic>
    <xdr:clientData/>
  </xdr:twoCellAnchor>
  <xdr:twoCellAnchor editAs="oneCell">
    <xdr:from>
      <xdr:col>9</xdr:col>
      <xdr:colOff>22412</xdr:colOff>
      <xdr:row>25</xdr:row>
      <xdr:rowOff>156883</xdr:rowOff>
    </xdr:from>
    <xdr:to>
      <xdr:col>16</xdr:col>
      <xdr:colOff>254735</xdr:colOff>
      <xdr:row>57</xdr:row>
      <xdr:rowOff>58047</xdr:rowOff>
    </xdr:to>
    <xdr:pic>
      <xdr:nvPicPr>
        <xdr:cNvPr id="4" name="Grafik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20118" y="5199530"/>
          <a:ext cx="5566323" cy="63669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abSelected="1" zoomScale="85" zoomScaleNormal="85" workbookViewId="0">
      <selection activeCell="H11" sqref="H11"/>
    </sheetView>
  </sheetViews>
  <sheetFormatPr baseColWidth="10" defaultRowHeight="15" x14ac:dyDescent="0.25"/>
  <cols>
    <col min="1" max="1" width="3.7109375" bestFit="1" customWidth="1"/>
    <col min="2" max="2" width="22.28515625" bestFit="1" customWidth="1"/>
    <col min="3" max="3" width="4.85546875" style="1" customWidth="1"/>
    <col min="4" max="4" width="9.5703125" bestFit="1" customWidth="1"/>
    <col min="5" max="5" width="39.85546875" customWidth="1"/>
    <col min="6" max="6" width="9.28515625" customWidth="1"/>
    <col min="8" max="8" width="25" customWidth="1"/>
    <col min="9" max="9" width="12.7109375" bestFit="1" customWidth="1"/>
  </cols>
  <sheetData>
    <row r="1" spans="1:9" ht="18.75" x14ac:dyDescent="0.3">
      <c r="A1" s="13" t="s">
        <v>41</v>
      </c>
      <c r="B1" s="13"/>
      <c r="C1" s="13"/>
      <c r="D1" s="13"/>
    </row>
    <row r="2" spans="1:9" x14ac:dyDescent="0.25">
      <c r="C2" s="1" t="s">
        <v>0</v>
      </c>
      <c r="D2" t="s">
        <v>9</v>
      </c>
      <c r="E2" s="12" t="str">
        <f>DEC2HEX(D3,2)&amp;DEC2HEX(D4,2)&amp;DEC2HEX(D5,2)&amp;DEC2HEX(D6,2)&amp;DEC2HEX(D7,2)&amp;DEC2HEX(D8,2)&amp;DEC2HEX(D9,2)&amp;DEC2HEX(D10,2)&amp;DEC2HEX(D11,2)&amp;DEC2HEX(D12,2)</f>
        <v>554D0097030101001700</v>
      </c>
    </row>
    <row r="3" spans="1:9" x14ac:dyDescent="0.25">
      <c r="A3">
        <v>0</v>
      </c>
      <c r="B3" t="s">
        <v>35</v>
      </c>
      <c r="C3" s="4">
        <v>55</v>
      </c>
      <c r="D3" s="3">
        <f>HEX2DEC(C3)</f>
        <v>85</v>
      </c>
      <c r="H3" t="s">
        <v>34</v>
      </c>
      <c r="I3" t="s">
        <v>22</v>
      </c>
    </row>
    <row r="4" spans="1:9" x14ac:dyDescent="0.25">
      <c r="A4">
        <v>1</v>
      </c>
      <c r="B4" t="s">
        <v>36</v>
      </c>
      <c r="C4" s="4" t="s">
        <v>1</v>
      </c>
      <c r="D4" s="3">
        <f t="shared" ref="D4:D12" si="0">HEX2DEC(C4)</f>
        <v>77</v>
      </c>
      <c r="H4" t="s">
        <v>27</v>
      </c>
      <c r="I4" t="s">
        <v>23</v>
      </c>
    </row>
    <row r="5" spans="1:9" x14ac:dyDescent="0.25">
      <c r="A5">
        <v>2</v>
      </c>
      <c r="B5" t="s">
        <v>2</v>
      </c>
      <c r="C5" s="4">
        <v>0</v>
      </c>
      <c r="D5" s="3">
        <f t="shared" si="0"/>
        <v>0</v>
      </c>
      <c r="H5" t="s">
        <v>28</v>
      </c>
      <c r="I5" t="s">
        <v>24</v>
      </c>
    </row>
    <row r="6" spans="1:9" x14ac:dyDescent="0.25">
      <c r="A6">
        <v>3</v>
      </c>
      <c r="B6" t="s">
        <v>43</v>
      </c>
      <c r="C6" s="4">
        <v>97</v>
      </c>
      <c r="D6" s="3">
        <f t="shared" si="0"/>
        <v>151</v>
      </c>
      <c r="E6" t="s">
        <v>42</v>
      </c>
      <c r="H6" t="s">
        <v>29</v>
      </c>
      <c r="I6" t="s">
        <v>25</v>
      </c>
    </row>
    <row r="7" spans="1:9" x14ac:dyDescent="0.25">
      <c r="A7">
        <v>4</v>
      </c>
      <c r="B7" t="s">
        <v>3</v>
      </c>
      <c r="C7" s="4">
        <v>3</v>
      </c>
      <c r="D7" s="3">
        <f t="shared" si="0"/>
        <v>3</v>
      </c>
      <c r="H7" t="s">
        <v>30</v>
      </c>
      <c r="I7" t="s">
        <v>26</v>
      </c>
    </row>
    <row r="8" spans="1:9" x14ac:dyDescent="0.25">
      <c r="A8">
        <v>5</v>
      </c>
      <c r="B8" t="s">
        <v>4</v>
      </c>
      <c r="C8" s="2" t="str">
        <f>DEC2HEX(D8,2)</f>
        <v>01</v>
      </c>
      <c r="D8" s="10">
        <v>1</v>
      </c>
      <c r="H8" t="s">
        <v>19</v>
      </c>
      <c r="I8" t="s">
        <v>21</v>
      </c>
    </row>
    <row r="9" spans="1:9" x14ac:dyDescent="0.25">
      <c r="A9">
        <v>6</v>
      </c>
      <c r="B9" t="s">
        <v>5</v>
      </c>
      <c r="C9" s="2" t="str">
        <f>DEC2HEX(D9,2)</f>
        <v>01</v>
      </c>
      <c r="D9" s="10">
        <v>1</v>
      </c>
      <c r="H9" t="s">
        <v>18</v>
      </c>
      <c r="I9" t="s">
        <v>20</v>
      </c>
    </row>
    <row r="10" spans="1:9" x14ac:dyDescent="0.25">
      <c r="A10">
        <v>7</v>
      </c>
      <c r="B10" t="s">
        <v>6</v>
      </c>
      <c r="C10" s="2" t="str">
        <f>DEC2HEX(D10,2)</f>
        <v>00</v>
      </c>
      <c r="D10" s="10">
        <v>0</v>
      </c>
      <c r="E10" t="s">
        <v>16</v>
      </c>
    </row>
    <row r="11" spans="1:9" x14ac:dyDescent="0.25">
      <c r="A11">
        <v>8</v>
      </c>
      <c r="B11" t="s">
        <v>7</v>
      </c>
      <c r="C11" s="2" t="str">
        <f>DEC2HEX(D11,2)</f>
        <v>17</v>
      </c>
      <c r="D11" s="10">
        <f>MOD(85-MOD(SUM(D3:D10),256),256)</f>
        <v>23</v>
      </c>
    </row>
    <row r="12" spans="1:9" x14ac:dyDescent="0.25">
      <c r="A12">
        <v>9</v>
      </c>
      <c r="B12" t="s">
        <v>8</v>
      </c>
      <c r="C12" s="2">
        <v>0</v>
      </c>
      <c r="D12" s="3">
        <f t="shared" si="0"/>
        <v>0</v>
      </c>
    </row>
    <row r="13" spans="1:9" x14ac:dyDescent="0.25">
      <c r="C13"/>
    </row>
    <row r="14" spans="1:9" x14ac:dyDescent="0.25">
      <c r="C14"/>
    </row>
    <row r="15" spans="1:9" ht="33" customHeight="1" x14ac:dyDescent="0.25">
      <c r="A15" s="15" t="s">
        <v>40</v>
      </c>
      <c r="B15" s="16"/>
      <c r="C15" s="16"/>
      <c r="D15" s="16"/>
    </row>
    <row r="16" spans="1:9" x14ac:dyDescent="0.25">
      <c r="C16" s="1" t="s">
        <v>0</v>
      </c>
      <c r="D16" t="s">
        <v>9</v>
      </c>
      <c r="E16" s="12" t="str">
        <f>DEC2HEX(D17,2)&amp;DEC2HEX(D18,2)&amp;DEC2HEX(D19,2)&amp;DEC2HEX(D20,2)&amp;DEC2HEX(D21,2)&amp;DEC2HEX(D22,2)&amp;DEC2HEX(D23,2)&amp;DEC2HEX(D24,2)</f>
        <v>554D006E01014300</v>
      </c>
    </row>
    <row r="17" spans="1:5" x14ac:dyDescent="0.25">
      <c r="A17">
        <v>0</v>
      </c>
      <c r="B17" t="s">
        <v>35</v>
      </c>
      <c r="C17" s="4">
        <v>55</v>
      </c>
      <c r="D17" s="3">
        <f>HEX2DEC(C17)</f>
        <v>85</v>
      </c>
      <c r="E17" s="11"/>
    </row>
    <row r="18" spans="1:5" x14ac:dyDescent="0.25">
      <c r="A18">
        <v>1</v>
      </c>
      <c r="B18" t="s">
        <v>36</v>
      </c>
      <c r="C18" s="4" t="s">
        <v>1</v>
      </c>
      <c r="D18" s="3">
        <f t="shared" ref="D18:D24" si="1">HEX2DEC(C18)</f>
        <v>77</v>
      </c>
    </row>
    <row r="19" spans="1:5" x14ac:dyDescent="0.25">
      <c r="A19">
        <v>2</v>
      </c>
      <c r="B19" t="s">
        <v>2</v>
      </c>
      <c r="C19" s="4">
        <v>0</v>
      </c>
      <c r="D19" s="3">
        <f t="shared" si="1"/>
        <v>0</v>
      </c>
    </row>
    <row r="20" spans="1:5" x14ac:dyDescent="0.25">
      <c r="A20">
        <v>3</v>
      </c>
      <c r="B20" t="s">
        <v>3</v>
      </c>
      <c r="C20" s="4" t="s">
        <v>10</v>
      </c>
      <c r="D20" s="3">
        <f t="shared" si="1"/>
        <v>110</v>
      </c>
    </row>
    <row r="21" spans="1:5" x14ac:dyDescent="0.25">
      <c r="A21">
        <v>4</v>
      </c>
      <c r="B21" t="s">
        <v>3</v>
      </c>
      <c r="C21" s="4">
        <v>1</v>
      </c>
      <c r="D21" s="3">
        <f t="shared" si="1"/>
        <v>1</v>
      </c>
    </row>
    <row r="22" spans="1:5" x14ac:dyDescent="0.25">
      <c r="A22">
        <v>5</v>
      </c>
      <c r="B22" t="s">
        <v>4</v>
      </c>
      <c r="C22" s="2" t="str">
        <f>DEC2HEX(D22,2)</f>
        <v>01</v>
      </c>
      <c r="D22" s="10">
        <v>1</v>
      </c>
    </row>
    <row r="23" spans="1:5" x14ac:dyDescent="0.25">
      <c r="A23">
        <v>6</v>
      </c>
      <c r="B23" t="s">
        <v>7</v>
      </c>
      <c r="C23" s="2" t="str">
        <f>DEC2HEX(D23,2)</f>
        <v>43</v>
      </c>
      <c r="D23" s="3">
        <f>MOD(85-MOD(SUM(D17:D22),256),256)</f>
        <v>67</v>
      </c>
      <c r="E23" s="8"/>
    </row>
    <row r="24" spans="1:5" x14ac:dyDescent="0.25">
      <c r="A24">
        <v>7</v>
      </c>
      <c r="B24" t="s">
        <v>8</v>
      </c>
      <c r="C24" s="2">
        <v>0</v>
      </c>
      <c r="D24" s="3">
        <f t="shared" si="1"/>
        <v>0</v>
      </c>
    </row>
    <row r="27" spans="1:5" ht="18.75" x14ac:dyDescent="0.3">
      <c r="A27" s="14" t="s">
        <v>11</v>
      </c>
      <c r="B27" s="14"/>
      <c r="C27" s="14"/>
      <c r="D27" s="14"/>
    </row>
    <row r="28" spans="1:5" x14ac:dyDescent="0.25">
      <c r="C28" s="1" t="s">
        <v>0</v>
      </c>
      <c r="D28" t="s">
        <v>9</v>
      </c>
      <c r="E28" s="12" t="str">
        <f>DEC2HEX(D29,2)&amp;DEC2HEX(D30,2)&amp;DEC2HEX(D31,2)&amp;DEC2HEX(D32,2)&amp;DEC2HEX(D33,2)&amp;DEC2HEX(D34,2)&amp;DEC2HEX(D35,2)&amp;DEC2HEX(D36,2)&amp;DEC2HEX(D37,2)&amp;DEC2HEX(D38,2)&amp;DEC2HEX(D39,2)</f>
        <v>555300980501012DDA0700</v>
      </c>
    </row>
    <row r="29" spans="1:5" x14ac:dyDescent="0.25">
      <c r="A29">
        <v>0</v>
      </c>
      <c r="B29" t="s">
        <v>35</v>
      </c>
      <c r="C29" s="4">
        <v>55</v>
      </c>
      <c r="D29" s="3">
        <f>HEX2DEC(C29)</f>
        <v>85</v>
      </c>
    </row>
    <row r="30" spans="1:5" x14ac:dyDescent="0.25">
      <c r="A30">
        <v>1</v>
      </c>
      <c r="B30" t="s">
        <v>37</v>
      </c>
      <c r="C30" s="4">
        <v>53</v>
      </c>
      <c r="D30" s="3">
        <f t="shared" ref="D30:D39" si="2">HEX2DEC(C30)</f>
        <v>83</v>
      </c>
    </row>
    <row r="31" spans="1:5" x14ac:dyDescent="0.25">
      <c r="A31">
        <v>2</v>
      </c>
      <c r="B31" t="s">
        <v>2</v>
      </c>
      <c r="C31" s="4">
        <v>0</v>
      </c>
      <c r="D31" s="3">
        <f t="shared" si="2"/>
        <v>0</v>
      </c>
    </row>
    <row r="32" spans="1:5" x14ac:dyDescent="0.25">
      <c r="A32">
        <v>3</v>
      </c>
      <c r="B32" t="s">
        <v>3</v>
      </c>
      <c r="C32" s="4">
        <v>98</v>
      </c>
      <c r="D32" s="3">
        <f t="shared" si="2"/>
        <v>152</v>
      </c>
    </row>
    <row r="33" spans="1:5" x14ac:dyDescent="0.25">
      <c r="A33">
        <v>4</v>
      </c>
      <c r="B33" t="s">
        <v>3</v>
      </c>
      <c r="C33" s="4">
        <v>5</v>
      </c>
      <c r="D33" s="3">
        <f t="shared" si="2"/>
        <v>5</v>
      </c>
    </row>
    <row r="34" spans="1:5" x14ac:dyDescent="0.25">
      <c r="A34">
        <v>5</v>
      </c>
      <c r="B34" t="s">
        <v>4</v>
      </c>
      <c r="C34" s="2" t="str">
        <f>DEC2HEX(D34,2)</f>
        <v>01</v>
      </c>
      <c r="D34" s="10">
        <v>1</v>
      </c>
    </row>
    <row r="35" spans="1:5" x14ac:dyDescent="0.25">
      <c r="A35">
        <v>6</v>
      </c>
      <c r="B35" t="s">
        <v>12</v>
      </c>
      <c r="C35" s="2" t="str">
        <f>DEC2HEX(D35,2)</f>
        <v>01</v>
      </c>
      <c r="D35" s="10">
        <v>1</v>
      </c>
    </row>
    <row r="36" spans="1:5" x14ac:dyDescent="0.25">
      <c r="A36">
        <v>7</v>
      </c>
      <c r="B36" t="s">
        <v>13</v>
      </c>
      <c r="C36" s="4" t="s">
        <v>31</v>
      </c>
      <c r="D36" s="3">
        <f>HEX2DEC(C36)</f>
        <v>45</v>
      </c>
      <c r="E36" s="6">
        <f>D36</f>
        <v>45</v>
      </c>
    </row>
    <row r="37" spans="1:5" x14ac:dyDescent="0.25">
      <c r="A37" s="5" t="s">
        <v>15</v>
      </c>
      <c r="B37" t="s">
        <v>14</v>
      </c>
      <c r="C37" s="4" t="s">
        <v>32</v>
      </c>
      <c r="D37" s="3">
        <f>HEX2DEC(C37)</f>
        <v>218</v>
      </c>
      <c r="E37" s="7">
        <f>D37/10</f>
        <v>21.8</v>
      </c>
    </row>
    <row r="38" spans="1:5" x14ac:dyDescent="0.25">
      <c r="A38">
        <v>10</v>
      </c>
      <c r="B38" t="s">
        <v>7</v>
      </c>
      <c r="C38" s="2" t="str">
        <f>DEC2HEX(D38,2)</f>
        <v>07</v>
      </c>
      <c r="D38" s="10">
        <f>MOD(85-MOD(SUM(D29:D37),256),256)</f>
        <v>7</v>
      </c>
      <c r="E38" s="9" t="s">
        <v>17</v>
      </c>
    </row>
    <row r="39" spans="1:5" x14ac:dyDescent="0.25">
      <c r="A39">
        <v>11</v>
      </c>
      <c r="B39" t="s">
        <v>8</v>
      </c>
      <c r="C39" s="2">
        <v>0</v>
      </c>
      <c r="D39" s="3">
        <f t="shared" si="2"/>
        <v>0</v>
      </c>
    </row>
    <row r="42" spans="1:5" ht="40.5" customHeight="1" x14ac:dyDescent="0.25">
      <c r="A42" s="17" t="s">
        <v>39</v>
      </c>
      <c r="B42" s="18"/>
      <c r="C42" s="18"/>
      <c r="D42" s="18"/>
      <c r="E42" t="s">
        <v>38</v>
      </c>
    </row>
    <row r="43" spans="1:5" x14ac:dyDescent="0.25">
      <c r="C43" s="1" t="s">
        <v>0</v>
      </c>
      <c r="D43" t="s">
        <v>9</v>
      </c>
    </row>
    <row r="44" spans="1:5" x14ac:dyDescent="0.25">
      <c r="A44">
        <v>0</v>
      </c>
      <c r="B44" t="s">
        <v>35</v>
      </c>
      <c r="C44" s="4">
        <v>55</v>
      </c>
      <c r="D44" s="3">
        <f>HEX2DEC(C44)</f>
        <v>85</v>
      </c>
    </row>
    <row r="45" spans="1:5" x14ac:dyDescent="0.25">
      <c r="A45">
        <v>1</v>
      </c>
      <c r="B45" t="s">
        <v>37</v>
      </c>
      <c r="C45" s="4">
        <v>53</v>
      </c>
      <c r="D45" s="3">
        <f t="shared" ref="D45:D52" si="3">HEX2DEC(C45)</f>
        <v>83</v>
      </c>
    </row>
    <row r="46" spans="1:5" x14ac:dyDescent="0.25">
      <c r="A46">
        <v>2</v>
      </c>
      <c r="B46" t="s">
        <v>2</v>
      </c>
      <c r="C46" s="4">
        <v>0</v>
      </c>
      <c r="D46" s="3">
        <f t="shared" si="3"/>
        <v>0</v>
      </c>
    </row>
    <row r="47" spans="1:5" x14ac:dyDescent="0.25">
      <c r="A47">
        <v>3</v>
      </c>
      <c r="B47" t="s">
        <v>3</v>
      </c>
      <c r="C47" s="4" t="s">
        <v>10</v>
      </c>
      <c r="D47" s="3">
        <f t="shared" si="3"/>
        <v>110</v>
      </c>
    </row>
    <row r="48" spans="1:5" x14ac:dyDescent="0.25">
      <c r="A48">
        <v>4</v>
      </c>
      <c r="B48" t="s">
        <v>3</v>
      </c>
      <c r="C48" s="4">
        <v>2</v>
      </c>
      <c r="D48" s="3">
        <f t="shared" si="3"/>
        <v>2</v>
      </c>
    </row>
    <row r="49" spans="1:4" x14ac:dyDescent="0.25">
      <c r="A49">
        <v>5</v>
      </c>
      <c r="B49" t="s">
        <v>33</v>
      </c>
      <c r="C49" s="4">
        <v>2</v>
      </c>
      <c r="D49" s="3">
        <f t="shared" si="3"/>
        <v>2</v>
      </c>
    </row>
    <row r="50" spans="1:4" x14ac:dyDescent="0.25">
      <c r="A50">
        <v>6</v>
      </c>
      <c r="B50" t="s">
        <v>4</v>
      </c>
      <c r="C50" s="2" t="str">
        <f>DEC2HEX(D50,2)</f>
        <v>05</v>
      </c>
      <c r="D50" s="10">
        <v>5</v>
      </c>
    </row>
    <row r="51" spans="1:4" x14ac:dyDescent="0.25">
      <c r="A51">
        <v>7</v>
      </c>
      <c r="B51" t="s">
        <v>7</v>
      </c>
      <c r="C51" s="2" t="str">
        <f>DEC2HEX(D51,2)</f>
        <v>36</v>
      </c>
      <c r="D51" s="3">
        <f>MOD(85-MOD(SUM(D44:D50),256),256)</f>
        <v>54</v>
      </c>
    </row>
    <row r="52" spans="1:4" x14ac:dyDescent="0.25">
      <c r="A52">
        <v>8</v>
      </c>
      <c r="B52" t="s">
        <v>8</v>
      </c>
      <c r="C52" s="2">
        <v>0</v>
      </c>
      <c r="D52" s="3">
        <f t="shared" si="3"/>
        <v>0</v>
      </c>
    </row>
  </sheetData>
  <mergeCells count="4">
    <mergeCell ref="A1:D1"/>
    <mergeCell ref="A27:D27"/>
    <mergeCell ref="A15:D15"/>
    <mergeCell ref="A42:D42"/>
  </mergeCells>
  <pageMargins left="0.7" right="0.7" top="0.78740157499999996" bottom="0.78740157499999996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Schnitzler</dc:creator>
  <cp:lastModifiedBy>Axel Schnitzler</cp:lastModifiedBy>
  <dcterms:created xsi:type="dcterms:W3CDTF">2026-03-23T05:28:46Z</dcterms:created>
  <dcterms:modified xsi:type="dcterms:W3CDTF">2026-03-28T14:08:15Z</dcterms:modified>
</cp:coreProperties>
</file>